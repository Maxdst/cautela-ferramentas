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<sst xmlns="http://schemas.openxmlformats.org/spreadsheetml/2006/main" count="52" uniqueCount="43">
  <si>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CABINE DE FERRAMENTAS — ESTIMATIVA DE INVESTIMENTO</t>
  </si>
  <si>
    <t xml:space="preserve">Markat Engenharia Com. Serv. e Locações Ltda  |  Projeto: Cabine de Acesso e Monitoramento de Ferramentas</t>
  </si>
  <si>
    <t xml:space="preserve">Data: 10/07/2026</t>
  </si>
  <si>
    <t xml:space="preserve">  HARDWARE — INVESTIMENTO ÚNICO</t>
  </si>
  <si>
    <t xml:space="preserve">#</t>
  </si>
  <si>
    <t xml:space="preserve">Item</t>
  </si>
  <si>
    <t xml:space="preserve">Referência / Modelo</t>
  </si>
  <si>
    <t xml:space="preserve">Qtd.</t>
  </si>
  <si>
    <t xml:space="preserve">Valor Unit. (R$)</t>
  </si>
  <si>
    <t xml:space="preserve">Total (R$)</t>
  </si>
  <si>
    <t xml:space="preserve">Fase</t>
  </si>
  <si>
    <t xml:space="preserve">Link de Compra</t>
  </si>
  <si>
    <t xml:space="preserve">Controlador de Acesso Standalone</t>
  </si>
  <si>
    <t xml:space="preserve">Raspberry Pi 4 Model B — 2GB (ANATEL)</t>
  </si>
  <si>
    <t xml:space="preserve">V1</t>
  </si>
  <si>
    <t xml:space="preserve">Câmera de Segurança WiFi</t>
  </si>
  <si>
    <t xml:space="preserve">Intelbras iM3 C — Full HD 1080p (RTSP + SD)</t>
  </si>
  <si>
    <t xml:space="preserve">Fechadura Elétrica de Sobrepor</t>
  </si>
  <si>
    <t xml:space="preserve">AGL ou Intelbras — bivolt + relé 5V</t>
  </si>
  <si>
    <t xml:space="preserve">Sensor Magnético de Porta</t>
  </si>
  <si>
    <t xml:space="preserve">Reed Switch — abertura/fechamento da porta</t>
  </si>
  <si>
    <t xml:space="preserve">Leitor de QR Code USB</t>
  </si>
  <si>
    <t xml:space="preserve">Genérico HID Plug &amp; Play — 1D/2D</t>
  </si>
  <si>
    <t xml:space="preserve">Leitor de Cartão de Proximidade</t>
  </si>
  <si>
    <t xml:space="preserve">Módulo RFID RC522 + 10 crachás PVC</t>
  </si>
  <si>
    <t xml:space="preserve">Opc.</t>
  </si>
  <si>
    <t xml:space="preserve">Modem 4G Industrial</t>
  </si>
  <si>
    <t xml:space="preserve">EXVIST 4G LTE — slot SIM, IP30, VPN</t>
  </si>
  <si>
    <t xml:space="preserve">Cartão SD 32GB (para o Pi)</t>
  </si>
  <si>
    <t xml:space="preserve">SanDisk ou Kingston — Classe 10 A1</t>
  </si>
  <si>
    <t xml:space="preserve">SUBTOTAL — HARDWARE (inclui itens opcionais)</t>
  </si>
  <si>
    <t xml:space="preserve">  CUSTO RECORRENTE — MENSAL</t>
  </si>
  <si>
    <t xml:space="preserve">Descrição</t>
  </si>
  <si>
    <t xml:space="preserve">Custo/mês (R$)</t>
  </si>
  <si>
    <t xml:space="preserve">Total/mês (R$)</t>
  </si>
  <si>
    <t xml:space="preserve">Chip de Dados 4G (M2M)</t>
  </si>
  <si>
    <t xml:space="preserve">Plano M2M dedicado — operadora TIM/Claro/Vivo</t>
  </si>
  <si>
    <t xml:space="preserve">CUSTO RECORRENTE MENSAL</t>
  </si>
  <si>
    <t xml:space="preserve">INVESTIMENTO TOTAL INICIAL (hardware)</t>
  </si>
  <si>
    <t xml:space="preserve">NOTAS</t>
  </si>
  <si>
    <t xml:space="preserve">¹  Os valores são estimativas de mercado com base em pesquisa realizada em julho/2026. Preços sujeitos a variação conforme disponibilidade.</t>
  </si>
  <si>
    <t xml:space="preserve">²  Item opcional (RFID) pode substituir ou complementar o leitor de QR Code conforme preferência operacional.</t>
  </si>
  <si>
    <t xml:space="preserve">³  Custo de desenvolvimento do script + integração com a API: estimado em 1–2 dias de trabalho técnico (não incluído na tabela).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</si>
</sst>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4CDD8"/>
      <name val="Arial"/>
      <family val="0"/>
      <charset val="1"/>
    </font>
    <font>
      <sz val="9"/>
      <color rgb="FF8A9BB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1A2535"/>
      <name val="Arial"/>
      <family val="0"/>
      <charset val="1"/>
    </font>
    <font>
      <sz val="8.5"/>
      <color rgb="FF6B7280"/>
      <name val="Arial"/>
      <family val="0"/>
      <charset val="1"/>
    </font>
    <font>
      <sz val="9"/>
      <color rgb="FF1A2535"/>
      <name val="Arial"/>
      <family val="0"/>
      <charset val="1"/>
    </font>
    <font>
      <b val="true"/>
      <sz val="8"/>
      <color rgb="FF065F46"/>
      <name val="Arial"/>
      <family val="0"/>
      <charset val="1"/>
    </font>
    <font>
      <u val="single"/>
      <sz val="8.5"/>
      <color rgb="FF4A90A4"/>
      <name val="Arial"/>
      <family val="0"/>
      <charset val="1"/>
    </font>
    <font>
      <i val="true"/>
      <sz val="8.5"/>
      <color rgb="FF6B7280"/>
      <name val="Arial"/>
      <family val="0"/>
      <charset val="1"/>
    </font>
    <font>
      <b val="true"/>
      <sz val="8"/>
      <color rgb="FF92400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B2D45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59E0B"/>
        <bgColor rgb="FFFFCC00"/>
      </patternFill>
    </fill>
    <fill>
      <patternFill patternType="solid">
        <fgColor rgb="FF1B2D45"/>
        <bgColor rgb="FF1A2535"/>
      </patternFill>
    </fill>
    <fill>
      <patternFill patternType="solid">
        <fgColor rgb="FFE8ECF0"/>
        <bgColor rgb="FFE5E7EB"/>
      </patternFill>
    </fill>
    <fill>
      <patternFill patternType="solid">
        <fgColor rgb="FF2E3F55"/>
        <bgColor rgb="FF1B2D45"/>
      </patternFill>
    </fill>
    <fill>
      <patternFill patternType="solid">
        <fgColor rgb="FFF6F8FA"/>
        <bgColor rgb="FFFFFBEB"/>
      </patternFill>
    </fill>
    <fill>
      <patternFill patternType="solid">
        <fgColor rgb="FFD1FAE5"/>
        <bgColor rgb="FFE8ECF0"/>
      </patternFill>
    </fill>
    <fill>
      <patternFill patternType="solid">
        <fgColor rgb="FFFFFFFF"/>
        <bgColor rgb="FFFFFBEB"/>
      </patternFill>
    </fill>
    <fill>
      <patternFill patternType="solid">
        <fgColor rgb="FFFFFBE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4CDD8"/>
      <rgbColor rgb="FF808080"/>
      <rgbColor rgb="FF9999FF"/>
      <rgbColor rgb="FF993366"/>
      <rgbColor rgb="FFFFFBEB"/>
      <rgbColor rgb="FFE8ECF0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A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8A9BB0"/>
      <rgbColor rgb="FF1B2D45"/>
      <rgbColor rgb="FF4A90A4"/>
      <rgbColor rgb="FF003300"/>
      <rgbColor rgb="FF1A2535"/>
      <rgbColor rgb="FF92400E"/>
      <rgbColor rgb="FF993366"/>
      <rgbColor rgb="FF333399"/>
      <rgbColor rgb="FF2E3F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3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8" hidden="false" customHeight="true" outlineLevel="0" collapsed="false">
      <c r="A4" s="4"/>
      <c r="B4" s="4"/>
      <c r="C4" s="4"/>
      <c r="D4" s="4"/>
      <c r="E4" s="4"/>
      <c r="F4" s="4"/>
      <c r="G4" s="5" t="s">
        <v>2</v>
      </c>
      <c r="H4" s="5"/>
    </row>
    <row r="5" customFormat="false" ht="7.5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21.75" hidden="false" customHeight="true" outlineLevel="0" collapsed="false">
      <c r="A6" s="7" t="s">
        <v>3</v>
      </c>
      <c r="B6" s="7"/>
      <c r="C6" s="7"/>
      <c r="D6" s="7"/>
      <c r="E6" s="7"/>
      <c r="F6" s="7"/>
      <c r="G6" s="7"/>
      <c r="H6" s="7"/>
    </row>
    <row r="7" customFormat="false" ht="21.75" hidden="false" customHeight="true" outlineLevel="0" collapsed="false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</row>
    <row r="8" customFormat="false" ht="19.5" hidden="false" customHeight="true" outlineLevel="0" collapsed="false">
      <c r="A8" s="9" t="n">
        <v>1</v>
      </c>
      <c r="B8" s="10" t="s">
        <v>12</v>
      </c>
      <c r="C8" s="11" t="s">
        <v>13</v>
      </c>
      <c r="D8" s="12" t="n">
        <v>1</v>
      </c>
      <c r="E8" s="13" t="n">
        <v>390</v>
      </c>
      <c r="F8" s="14" t="n">
        <f aca="false">D8*E8</f>
        <v>390</v>
      </c>
      <c r="G8" s="15" t="s">
        <v>14</v>
      </c>
      <c r="H8" s="16" t="str">
        <f aca="false">HYPERLINK("https://www.robocore.net/placa-raspberry-pi/raspberry-pi-4-2gb", "🔗 Ver produto")</f>
        <v>🔗 Ver produto</v>
      </c>
    </row>
    <row r="9" customFormat="false" ht="19.5" hidden="false" customHeight="true" outlineLevel="0" collapsed="false">
      <c r="A9" s="17" t="n">
        <v>2</v>
      </c>
      <c r="B9" s="18" t="s">
        <v>15</v>
      </c>
      <c r="C9" s="19" t="s">
        <v>16</v>
      </c>
      <c r="D9" s="20" t="n">
        <v>1</v>
      </c>
      <c r="E9" s="21" t="n">
        <v>175</v>
      </c>
      <c r="F9" s="22" t="n">
        <f aca="false">D9*E9</f>
        <v>175</v>
      </c>
      <c r="G9" s="15" t="s">
        <v>14</v>
      </c>
      <c r="H9" s="23" t="str">
        <f aca="false">HYPERLINK("https://loja.intelbras.com.br/camera-wifi-im3c/p", "🔗 Ver produto")</f>
        <v>🔗 Ver produto</v>
      </c>
    </row>
    <row r="10" customFormat="false" ht="19.5" hidden="false" customHeight="true" outlineLevel="0" collapsed="false">
      <c r="A10" s="9" t="n">
        <v>3</v>
      </c>
      <c r="B10" s="10" t="s">
        <v>17</v>
      </c>
      <c r="C10" s="11" t="s">
        <v>18</v>
      </c>
      <c r="D10" s="12" t="n">
        <v>1</v>
      </c>
      <c r="E10" s="13" t="n">
        <v>130</v>
      </c>
      <c r="F10" s="14" t="n">
        <f aca="false">D10*E10</f>
        <v>130</v>
      </c>
      <c r="G10" s="15" t="s">
        <v>14</v>
      </c>
      <c r="H10" s="16" t="str">
        <f aca="false">HYPERLINK("https://www.magazineluiza.com.br/busca/fechadura+de+sobrepor+eletrica/", "🔗 Ver produto")</f>
        <v>🔗 Ver produto</v>
      </c>
    </row>
    <row r="11" customFormat="false" ht="19.5" hidden="false" customHeight="true" outlineLevel="0" collapsed="false">
      <c r="A11" s="17" t="n">
        <v>4</v>
      </c>
      <c r="B11" s="18" t="s">
        <v>19</v>
      </c>
      <c r="C11" s="19" t="s">
        <v>20</v>
      </c>
      <c r="D11" s="20" t="n">
        <v>1</v>
      </c>
      <c r="E11" s="21" t="n">
        <v>22</v>
      </c>
      <c r="F11" s="22" t="n">
        <f aca="false">D11*E11</f>
        <v>22</v>
      </c>
      <c r="G11" s="15" t="s">
        <v>14</v>
      </c>
      <c r="H11" s="23" t="str">
        <f aca="false">HYPERLINK("https://lista.mercadolivre.com.br/sensor-magnetico-reed-switch", "🔗 Ver produto")</f>
        <v>🔗 Ver produto</v>
      </c>
    </row>
    <row r="12" customFormat="false" ht="19.5" hidden="false" customHeight="true" outlineLevel="0" collapsed="false">
      <c r="A12" s="9" t="n">
        <v>5</v>
      </c>
      <c r="B12" s="10" t="s">
        <v>21</v>
      </c>
      <c r="C12" s="11" t="s">
        <v>22</v>
      </c>
      <c r="D12" s="12" t="n">
        <v>1</v>
      </c>
      <c r="E12" s="13" t="n">
        <v>100</v>
      </c>
      <c r="F12" s="14" t="n">
        <f aca="false">D12*E12</f>
        <v>100</v>
      </c>
      <c r="G12" s="15" t="s">
        <v>14</v>
      </c>
      <c r="H12" s="16" t="str">
        <f aca="false">HYPERLINK("https://www.amazon.com.br/Leitor-C%C3%B3digo-Barras-Port%C3%A1til-Suporte/dp/B0CBHTC9KX", "🔗 Ver produto")</f>
        <v>🔗 Ver produto</v>
      </c>
    </row>
    <row r="13" customFormat="false" ht="19.5" hidden="false" customHeight="true" outlineLevel="0" collapsed="false">
      <c r="A13" s="24" t="n">
        <v>6</v>
      </c>
      <c r="B13" s="25" t="s">
        <v>23</v>
      </c>
      <c r="C13" s="26" t="s">
        <v>24</v>
      </c>
      <c r="D13" s="27" t="n">
        <v>1</v>
      </c>
      <c r="E13" s="28" t="n">
        <v>65</v>
      </c>
      <c r="F13" s="29" t="n">
        <f aca="false">D13*E13</f>
        <v>65</v>
      </c>
      <c r="G13" s="30" t="s">
        <v>25</v>
      </c>
      <c r="H13" s="31" t="str">
        <f aca="false">HYPERLINK("https://www.eletrogate.com/modulo-rfid-mfrc522", "🔗 Ver produto")</f>
        <v>🔗 Ver produto</v>
      </c>
    </row>
    <row r="14" customFormat="false" ht="19.5" hidden="false" customHeight="true" outlineLevel="0" collapsed="false">
      <c r="A14" s="9" t="n">
        <v>7</v>
      </c>
      <c r="B14" s="10" t="s">
        <v>26</v>
      </c>
      <c r="C14" s="11" t="s">
        <v>27</v>
      </c>
      <c r="D14" s="12" t="n">
        <v>1</v>
      </c>
      <c r="E14" s="13" t="n">
        <v>425</v>
      </c>
      <c r="F14" s="14" t="n">
        <f aca="false">D14*E14</f>
        <v>425</v>
      </c>
      <c r="G14" s="15" t="s">
        <v>14</v>
      </c>
      <c r="H14" s="16" t="str">
        <f aca="false">HYPERLINK("https://www.amazon.com.br/EXVIST-Roteador-Industrial-Inteligente-Vigil%C3%A2ncia/dp/B09PMKGTYN", "🔗 Ver produto")</f>
        <v>🔗 Ver produto</v>
      </c>
    </row>
    <row r="15" customFormat="false" ht="19.5" hidden="false" customHeight="true" outlineLevel="0" collapsed="false">
      <c r="A15" s="17" t="n">
        <v>8</v>
      </c>
      <c r="B15" s="18" t="s">
        <v>28</v>
      </c>
      <c r="C15" s="19" t="s">
        <v>29</v>
      </c>
      <c r="D15" s="20" t="n">
        <v>1</v>
      </c>
      <c r="E15" s="21" t="n">
        <v>35</v>
      </c>
      <c r="F15" s="22" t="n">
        <f aca="false">D15*E15</f>
        <v>35</v>
      </c>
      <c r="G15" s="15" t="s">
        <v>14</v>
      </c>
      <c r="H15" s="23" t="str">
        <f aca="false">HYPERLINK("https://www.amazon.com.br/s?k=cartao+sd+32gb+classe+10", "🔗 Ver produto")</f>
        <v>🔗 Ver produto</v>
      </c>
    </row>
    <row r="16" customFormat="false" ht="21.75" hidden="false" customHeight="true" outlineLevel="0" collapsed="false">
      <c r="A16" s="32" t="s">
        <v>30</v>
      </c>
      <c r="B16" s="32"/>
      <c r="C16" s="32"/>
      <c r="D16" s="32"/>
      <c r="E16" s="32"/>
      <c r="F16" s="33" t="n">
        <f aca="false">SUM(F8:F15)</f>
        <v>1342</v>
      </c>
      <c r="G16" s="34"/>
      <c r="H16" s="34"/>
    </row>
    <row r="17" customFormat="false" ht="7.5" hidden="false" customHeight="true" outlineLevel="0" collapsed="false"/>
    <row r="18" customFormat="false" ht="21.75" hidden="false" customHeight="true" outlineLevel="0" collapsed="false">
      <c r="A18" s="7" t="s">
        <v>31</v>
      </c>
      <c r="B18" s="7"/>
      <c r="C18" s="7"/>
      <c r="D18" s="7"/>
      <c r="E18" s="7"/>
      <c r="F18" s="7"/>
      <c r="G18" s="7"/>
      <c r="H18" s="7"/>
    </row>
    <row r="19" customFormat="false" ht="21.75" hidden="false" customHeight="true" outlineLevel="0" collapsed="false">
      <c r="A19" s="35" t="s">
        <v>4</v>
      </c>
      <c r="B19" s="35" t="s">
        <v>5</v>
      </c>
      <c r="C19" s="35" t="s">
        <v>32</v>
      </c>
      <c r="D19" s="35" t="s">
        <v>7</v>
      </c>
      <c r="E19" s="35" t="s">
        <v>33</v>
      </c>
      <c r="F19" s="35" t="s">
        <v>34</v>
      </c>
      <c r="G19" s="35"/>
      <c r="H19" s="35"/>
    </row>
    <row r="20" customFormat="false" ht="19.5" hidden="false" customHeight="true" outlineLevel="0" collapsed="false">
      <c r="A20" s="17" t="n">
        <v>1</v>
      </c>
      <c r="B20" s="18" t="s">
        <v>35</v>
      </c>
      <c r="C20" s="19" t="s">
        <v>36</v>
      </c>
      <c r="D20" s="20" t="n">
        <v>1</v>
      </c>
      <c r="E20" s="21" t="n">
        <v>80</v>
      </c>
      <c r="F20" s="22" t="n">
        <f aca="false">D20*E20</f>
        <v>80</v>
      </c>
      <c r="G20" s="36"/>
      <c r="H20" s="36"/>
    </row>
    <row r="21" customFormat="false" ht="21.75" hidden="false" customHeight="true" outlineLevel="0" collapsed="false">
      <c r="A21" s="32" t="s">
        <v>37</v>
      </c>
      <c r="B21" s="32"/>
      <c r="C21" s="32"/>
      <c r="D21" s="32"/>
      <c r="E21" s="32"/>
      <c r="F21" s="33" t="n">
        <f aca="false">SUM(F20)</f>
        <v>80</v>
      </c>
      <c r="G21" s="34"/>
      <c r="H21" s="34"/>
    </row>
    <row r="22" customFormat="false" ht="7.5" hidden="false" customHeight="true" outlineLevel="0" collapsed="false"/>
    <row r="23" customFormat="false" ht="30" hidden="false" customHeight="true" outlineLevel="0" collapsed="false">
      <c r="A23" s="37" t="s">
        <v>38</v>
      </c>
      <c r="B23" s="37"/>
      <c r="C23" s="37"/>
      <c r="D23" s="37"/>
      <c r="E23" s="37"/>
      <c r="F23" s="38" t="n">
        <f aca="false">F16</f>
        <v>1342</v>
      </c>
      <c r="G23" s="1"/>
      <c r="H23" s="1"/>
    </row>
    <row r="24" customFormat="false" ht="6" hidden="false" customHeight="true" outlineLevel="0" collapsed="false">
      <c r="A24" s="39"/>
      <c r="B24" s="39"/>
      <c r="C24" s="39"/>
      <c r="D24" s="39"/>
      <c r="E24" s="39"/>
      <c r="F24" s="39"/>
      <c r="G24" s="39"/>
      <c r="H24" s="39"/>
    </row>
    <row r="26" customFormat="false" ht="15.75" hidden="false" customHeight="true" outlineLevel="0" collapsed="false">
      <c r="A26" s="40" t="s">
        <v>39</v>
      </c>
      <c r="B26" s="40"/>
      <c r="C26" s="40"/>
      <c r="D26" s="40"/>
      <c r="E26" s="40"/>
      <c r="F26" s="40"/>
      <c r="G26" s="40"/>
      <c r="H26" s="40"/>
    </row>
    <row r="27" customFormat="false" ht="15.75" hidden="false" customHeight="true" outlineLevel="0" collapsed="false">
      <c r="A27" s="41" t="s">
        <v>40</v>
      </c>
      <c r="B27" s="41"/>
      <c r="C27" s="41"/>
      <c r="D27" s="41"/>
      <c r="E27" s="41"/>
      <c r="F27" s="41"/>
      <c r="G27" s="41"/>
      <c r="H27" s="41"/>
    </row>
    <row r="28" customFormat="false" ht="15.75" hidden="false" customHeight="true" outlineLevel="0" collapsed="false">
      <c r="A28" s="41" t="s">
        <v>41</v>
      </c>
      <c r="B28" s="41"/>
      <c r="C28" s="41"/>
      <c r="D28" s="41"/>
      <c r="E28" s="41"/>
      <c r="F28" s="41"/>
      <c r="G28" s="41"/>
      <c r="H28" s="41"/>
    </row>
    <row r="29" customFormat="false" ht="15" hidden="false" customHeight="false" outlineLevel="0" collapsed="false">
      <c r="A29" s="41" t="s">
        <v>42</v>
      </c>
      <c r="B29" s="41"/>
      <c r="C29" s="41"/>
      <c r="D29" s="41"/>
      <c r="E29" s="41"/>
      <c r="F29" s="41"/>
      <c r="G29" s="41"/>
      <c r="H29" s="41"/>
    </row>
  </sheetData>
  <mergeCells count="13">
    <mergeCell ref="A2:H2"/>
    <mergeCell ref="A3:H3"/>
    <mergeCell ref="A4:F4"/>
    <mergeCell ref="G4:H4"/>
    <mergeCell ref="A6:H6"/>
    <mergeCell ref="A16:E16"/>
    <mergeCell ref="A18:H18"/>
    <mergeCell ref="A21:E21"/>
    <mergeCell ref="A23:E23"/>
    <mergeCell ref="A26:H26"/>
    <mergeCell ref="A27:H27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2026-07-10T17:35:50Z</dcterms:created>
  <dc:creator>openpyxl</dc:creator>
  <dc:description/>
  <dc:language>en-US</dc:language>
  <cp:lastModifiedBy/>
  <dcterms:modified xsi:type="dcterms:W3CDTF">2026-07-10T17:35:50Z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