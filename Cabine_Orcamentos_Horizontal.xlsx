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ial" sheetId="1" state="visible" r:id="rId3"/>
    <sheet name="Econômico — Senh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<sst xmlns="http://schemas.openxmlformats.org/spreadsheetml/2006/main" count="87" uniqueCount="58">
  <si>
    <t xml:space="preserve">CABINE DE FERRAMENTAS — ORÇAMENTO COM ACESSO FACIAL</t>
  </si>
  <si>
    <t xml:space="preserve">Markat Engenharia  |  Reconhecimento Facial + Gravação de Vídeo (abertura → fechamento da porta)</t>
  </si>
  <si>
    <t xml:space="preserve">Data: 10/07/2026</t>
  </si>
  <si>
    <t xml:space="preserve">  HARDWARE — INVESTIMENTO ÚNICO</t>
  </si>
  <si>
    <t xml:space="preserve">CAMPO</t>
  </si>
  <si>
    <t xml:space="preserve">Terminal Biométrico Facial</t>
  </si>
  <si>
    <t xml:space="preserve">Controlador de Gravação</t>
  </si>
  <si>
    <t xml:space="preserve">Câmera de Segurança</t>
  </si>
  <si>
    <t xml:space="preserve">Fechadura Elétrica</t>
  </si>
  <si>
    <t xml:space="preserve">Sensor Magnético</t>
  </si>
  <si>
    <t xml:space="preserve">Modem 4G Industrial</t>
  </si>
  <si>
    <t xml:space="preserve">Cartão SD 32GB</t>
  </si>
  <si>
    <t xml:space="preserve">TOTAL</t>
  </si>
  <si>
    <t xml:space="preserve">Referência / Modelo</t>
  </si>
  <si>
    <t xml:space="preserve">Control iD iDFace
3.000 faces + relé</t>
  </si>
  <si>
    <t xml:space="preserve">Raspberry Pi 4
2GB ANATEL</t>
  </si>
  <si>
    <t xml:space="preserve">Intelbras iM3 C
Full HD RTSP+SD</t>
  </si>
  <si>
    <t xml:space="preserve">AGL / Intelbras
bivolt + relé</t>
  </si>
  <si>
    <t xml:space="preserve">Reed Switch
abertura/fechamento</t>
  </si>
  <si>
    <t xml:space="preserve">EXVIST 4G LTE
slot SIM, IP30</t>
  </si>
  <si>
    <t xml:space="preserve">SanDisk / Kingston
Classe 10 A1</t>
  </si>
  <si>
    <t xml:space="preserve">Qtd.</t>
  </si>
  <si>
    <t xml:space="preserve">Valor Unit. (R$)</t>
  </si>
  <si>
    <t xml:space="preserve">Total (R$)</t>
  </si>
  <si>
    <t xml:space="preserve">Fase</t>
  </si>
  <si>
    <t xml:space="preserve">Novo</t>
  </si>
  <si>
    <t xml:space="preserve">V1</t>
  </si>
  <si>
    <t xml:space="preserve">Link de Compra</t>
  </si>
  <si>
    <t xml:space="preserve">SUBTOTAL — HARDWARE</t>
  </si>
  <si>
    <t xml:space="preserve">  CUSTO RECORRENTE MENSAL</t>
  </si>
  <si>
    <t xml:space="preserve">Item</t>
  </si>
  <si>
    <t xml:space="preserve">Chip de Dados 4G (M2M) — plano TIM / Claro / Vivo</t>
  </si>
  <si>
    <t xml:space="preserve">Custo / mês (R$)</t>
  </si>
  <si>
    <t xml:space="preserve">INVESTIMENTO TOTAL INICIAL (hardware)</t>
  </si>
  <si>
    <t xml:space="preserve">NOTAS</t>
  </si>
  <si>
    <t xml:space="preserve">¹ Valores estimados — pesquisa julho/2026. Sujeitos a variação.</t>
  </si>
  <si>
    <t xml:space="preserve">² Terminal Control iD iDFace: relé integrado controla a fechadura diretamente; anti-spoofing incluso.</t>
  </si>
  <si>
    <t xml:space="preserve">³ Raspberry Pi 4 usado exclusivamente para gravação de vídeo via RTSP (ffmpeg). Não é o controlador de acesso.</t>
  </si>
  <si>
    <t xml:space="preserve">CABINE DE FERRAMENTAS — ORÇAMENTO ECONÔMICO (ACESSO POR SENHA)</t>
  </si>
  <si>
    <t xml:space="preserve">Markat Engenharia  |  Senha individual por colaborador — sem câmera, sem biometria facial</t>
  </si>
  <si>
    <t xml:space="preserve">Controlador + WiFi</t>
  </si>
  <si>
    <t xml:space="preserve">Teclado de Senha</t>
  </si>
  <si>
    <t xml:space="preserve">Módulo Relé 5V</t>
  </si>
  <si>
    <t xml:space="preserve">Fonte 5V 3A</t>
  </si>
  <si>
    <t xml:space="preserve">Caixa IP55</t>
  </si>
  <si>
    <t xml:space="preserve">Roteador WiFi</t>
  </si>
  <si>
    <t xml:space="preserve">Raspberry Pi Zero 2W
WiFi integrado ANATEL</t>
  </si>
  <si>
    <t xml:space="preserve">Teclado Matricial 4x4
16 teclas membrana</t>
  </si>
  <si>
    <t xml:space="preserve">Relé 1 canal 5V
aciona a fechadura</t>
  </si>
  <si>
    <t xml:space="preserve">AGL / Intelbras
bivolt de sobrepor</t>
  </si>
  <si>
    <t xml:space="preserve">Bivolt USB-C
para Pi Zero 2W</t>
  </si>
  <si>
    <t xml:space="preserve">Caixa de Proteção
abriga Pi + relé</t>
  </si>
  <si>
    <t xml:space="preserve">TP-Link ou similar
(se sem WiFi no local)</t>
  </si>
  <si>
    <t xml:space="preserve">WiFi da obra (se disponível: R$0) ou plano WiFi dedicado (~R$80/mês)</t>
  </si>
  <si>
    <t xml:space="preserve">² Item 'Roteador WiFi' (Opc.) deve ser adquirido SOMENTE se não houver WiFi disponível no local da cabine.</t>
  </si>
  <si>
    <t xml:space="preserve">³ Pi Zero 2W conecta via WiFi à API do Railway. Cada colaborador usa sua senha individual do sistema Cautela.</t>
  </si>
  <si>
    <t xml:space="preserve">⁴ Sem câmera e sem biometria: o registro de acesso fica por login (usuário + senha) + timestamp no banco.</t>
  </si>
  <si>
    <t xml:space="preserve">⁵ Economia em relação à versão Facial: aproximadamente R$ 1.782 no investimento inicial.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</si>
</sst>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C4CDD8"/>
      <name val="Arial"/>
      <family val="0"/>
      <charset val="1"/>
    </font>
    <font>
      <sz val="9"/>
      <color rgb="FF8A9BB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sz val="8"/>
      <color rgb="FF1A2535"/>
      <name val="Arial"/>
      <family val="0"/>
      <charset val="1"/>
    </font>
    <font>
      <b val="true"/>
      <sz val="9"/>
      <color rgb="FF1A2535"/>
      <name val="Arial"/>
      <family val="0"/>
      <charset val="1"/>
    </font>
    <font>
      <sz val="9"/>
      <color rgb="FF1A2535"/>
      <name val="Arial"/>
      <family val="0"/>
      <charset val="1"/>
    </font>
    <font>
      <b val="true"/>
      <sz val="10"/>
      <color rgb="FF1A2535"/>
      <name val="Arial"/>
      <family val="0"/>
      <charset val="1"/>
    </font>
    <font>
      <b val="true"/>
      <sz val="8"/>
      <color rgb="FF6D28D9"/>
      <name val="Arial"/>
      <family val="0"/>
      <charset val="1"/>
    </font>
    <font>
      <b val="true"/>
      <sz val="8"/>
      <color rgb="FF065F46"/>
      <name val="Arial"/>
      <family val="0"/>
      <charset val="1"/>
    </font>
    <font>
      <u val="single"/>
      <sz val="8"/>
      <color rgb="FF4A90A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B2D45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8"/>
      <color rgb="FF92400E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59E0B"/>
        <bgColor rgb="FFFFCC00"/>
      </patternFill>
    </fill>
    <fill>
      <patternFill patternType="solid">
        <fgColor rgb="FF1B2D45"/>
        <bgColor rgb="FF1A2535"/>
      </patternFill>
    </fill>
    <fill>
      <patternFill patternType="solid">
        <fgColor rgb="FFE8ECF0"/>
        <bgColor rgb="FFE5E7EB"/>
      </patternFill>
    </fill>
    <fill>
      <patternFill patternType="solid">
        <fgColor rgb="FF2E3F55"/>
        <bgColor rgb="FF1B2D45"/>
      </patternFill>
    </fill>
    <fill>
      <patternFill patternType="solid">
        <fgColor rgb="FFEDE9FE"/>
        <bgColor rgb="FFE8ECF0"/>
      </patternFill>
    </fill>
    <fill>
      <patternFill patternType="solid">
        <fgColor rgb="FFFFFFFF"/>
        <bgColor rgb="FFFFFBEB"/>
      </patternFill>
    </fill>
    <fill>
      <patternFill patternType="solid">
        <fgColor rgb="FFF6F8FA"/>
        <bgColor rgb="FFFFFBEB"/>
      </patternFill>
    </fill>
    <fill>
      <patternFill patternType="solid">
        <fgColor rgb="FFFEF3C7"/>
        <bgColor rgb="FFFFFBEB"/>
      </patternFill>
    </fill>
    <fill>
      <patternFill patternType="solid">
        <fgColor rgb="FFD1FAE5"/>
        <bgColor rgb="FFE8ECF0"/>
      </patternFill>
    </fill>
    <fill>
      <patternFill patternType="solid">
        <fgColor rgb="FFFFFBE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4CDD8"/>
      <rgbColor rgb="FF808080"/>
      <rgbColor rgb="FF9999FF"/>
      <rgbColor rgb="FF993366"/>
      <rgbColor rgb="FFFEF3C7"/>
      <rgbColor rgb="FFE8ECF0"/>
      <rgbColor rgb="FF660066"/>
      <rgbColor rgb="FFFF8080"/>
      <rgbColor rgb="FF0066CC"/>
      <rgbColor rgb="FFE5E7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8FA"/>
      <rgbColor rgb="FFD1FAE5"/>
      <rgbColor rgb="FFFFFBEB"/>
      <rgbColor rgb="FF99CCFF"/>
      <rgbColor rgb="FFFF99CC"/>
      <rgbColor rgb="FFCC99FF"/>
      <rgbColor rgb="FFEDE9FE"/>
      <rgbColor rgb="FF3366FF"/>
      <rgbColor rgb="FF33CCCC"/>
      <rgbColor rgb="FF99CC00"/>
      <rgbColor rgb="FFFFCC00"/>
      <rgbColor rgb="FFF59E0B"/>
      <rgbColor rgb="FFFF6600"/>
      <rgbColor rgb="FF6B7280"/>
      <rgbColor rgb="FF8A9BB0"/>
      <rgbColor rgb="FF1B2D45"/>
      <rgbColor rgb="FF4A90A4"/>
      <rgbColor rgb="FF003300"/>
      <rgbColor rgb="FF1A2535"/>
      <rgbColor rgb="FF92400E"/>
      <rgbColor rgb="FF993366"/>
      <rgbColor rgb="FF6D28D9"/>
      <rgbColor rgb="FF2E3F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8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5.75" hidden="false" customHeight="true" outlineLevel="0" collapsed="false">
      <c r="A4" s="4"/>
      <c r="B4" s="4"/>
      <c r="C4" s="4"/>
      <c r="D4" s="4"/>
      <c r="E4" s="4"/>
      <c r="F4" s="4"/>
      <c r="G4" s="5" t="s">
        <v>2</v>
      </c>
      <c r="H4" s="5"/>
    </row>
    <row r="5" customFormat="false" ht="6" hidden="false" customHeight="tru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19.5" hidden="false" customHeight="true" outlineLevel="0" collapsed="false">
      <c r="A6" s="7" t="s">
        <v>3</v>
      </c>
      <c r="B6" s="7"/>
      <c r="C6" s="7"/>
      <c r="D6" s="7"/>
      <c r="E6" s="7"/>
      <c r="F6" s="7"/>
      <c r="G6" s="7"/>
      <c r="H6" s="7"/>
    </row>
    <row r="7" customFormat="false" ht="30" hidden="false" customHeight="true" outlineLevel="0" collapsed="false">
      <c r="A7" s="8" t="s">
        <v>4</v>
      </c>
      <c r="B7" s="9" t="s">
        <v>5</v>
      </c>
      <c r="C7" s="9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10" t="s">
        <v>12</v>
      </c>
    </row>
    <row r="8" customFormat="false" ht="27.75" hidden="false" customHeight="true" outlineLevel="0" collapsed="false">
      <c r="A8" s="11" t="s">
        <v>13</v>
      </c>
      <c r="B8" s="12" t="s">
        <v>14</v>
      </c>
      <c r="C8" s="13" t="s">
        <v>15</v>
      </c>
      <c r="D8" s="14" t="s">
        <v>16</v>
      </c>
      <c r="E8" s="13" t="s">
        <v>17</v>
      </c>
      <c r="F8" s="14" t="s">
        <v>18</v>
      </c>
      <c r="G8" s="13" t="s">
        <v>19</v>
      </c>
      <c r="H8" s="14" t="s">
        <v>20</v>
      </c>
      <c r="I8" s="15"/>
    </row>
    <row r="9" customFormat="false" ht="13.5" hidden="false" customHeight="true" outlineLevel="0" collapsed="false">
      <c r="A9" s="11" t="s">
        <v>21</v>
      </c>
      <c r="B9" s="16" t="n">
        <v>1</v>
      </c>
      <c r="C9" s="17" t="n">
        <v>1</v>
      </c>
      <c r="D9" s="18" t="n">
        <v>1</v>
      </c>
      <c r="E9" s="17" t="n">
        <v>1</v>
      </c>
      <c r="F9" s="18" t="n">
        <v>1</v>
      </c>
      <c r="G9" s="17" t="n">
        <v>1</v>
      </c>
      <c r="H9" s="18" t="n">
        <v>1</v>
      </c>
      <c r="I9" s="19" t="n">
        <f aca="false">SUM(B9:H9)</f>
        <v>7</v>
      </c>
    </row>
    <row r="10" customFormat="false" ht="13.5" hidden="false" customHeight="true" outlineLevel="0" collapsed="false">
      <c r="A10" s="11" t="s">
        <v>22</v>
      </c>
      <c r="B10" s="20" t="n">
        <v>1050</v>
      </c>
      <c r="C10" s="21" t="n">
        <v>390</v>
      </c>
      <c r="D10" s="22" t="n">
        <v>175</v>
      </c>
      <c r="E10" s="21" t="n">
        <v>130</v>
      </c>
      <c r="F10" s="22" t="n">
        <v>22</v>
      </c>
      <c r="G10" s="21" t="n">
        <v>425</v>
      </c>
      <c r="H10" s="22" t="n">
        <v>35</v>
      </c>
      <c r="I10" s="15"/>
    </row>
    <row r="11" customFormat="false" ht="15.75" hidden="false" customHeight="true" outlineLevel="0" collapsed="false">
      <c r="A11" s="11" t="s">
        <v>23</v>
      </c>
      <c r="B11" s="23" t="n">
        <f aca="false">B9*B10</f>
        <v>1050</v>
      </c>
      <c r="C11" s="24" t="n">
        <f aca="false">C9*C10</f>
        <v>390</v>
      </c>
      <c r="D11" s="25" t="n">
        <f aca="false">D9*D10</f>
        <v>175</v>
      </c>
      <c r="E11" s="24" t="n">
        <f aca="false">E9*E10</f>
        <v>130</v>
      </c>
      <c r="F11" s="25" t="n">
        <f aca="false">F9*F10</f>
        <v>22</v>
      </c>
      <c r="G11" s="24" t="n">
        <f aca="false">G9*G10</f>
        <v>425</v>
      </c>
      <c r="H11" s="25" t="n">
        <f aca="false">H9*H10</f>
        <v>35</v>
      </c>
      <c r="I11" s="26" t="n">
        <f aca="false">SUM(B11:H11)</f>
        <v>2227</v>
      </c>
    </row>
    <row r="12" customFormat="false" ht="13.5" hidden="false" customHeight="true" outlineLevel="0" collapsed="false">
      <c r="A12" s="11" t="s">
        <v>24</v>
      </c>
      <c r="B12" s="27" t="s">
        <v>25</v>
      </c>
      <c r="C12" s="28" t="s">
        <v>26</v>
      </c>
      <c r="D12" s="28" t="s">
        <v>26</v>
      </c>
      <c r="E12" s="28" t="s">
        <v>26</v>
      </c>
      <c r="F12" s="28" t="s">
        <v>26</v>
      </c>
      <c r="G12" s="28" t="s">
        <v>26</v>
      </c>
      <c r="H12" s="28" t="s">
        <v>26</v>
      </c>
      <c r="I12" s="15"/>
    </row>
    <row r="13" customFormat="false" ht="13.5" hidden="false" customHeight="true" outlineLevel="0" collapsed="false">
      <c r="A13" s="11" t="s">
        <v>27</v>
      </c>
      <c r="B13" s="29" t="str">
        <f aca="false">HYPERLINK("https://www.amazon.com.br/Controle-Acesso-Id-Face-Control/dp/B0CNH4LHGT","Ver →")</f>
        <v>Ver →</v>
      </c>
      <c r="C13" s="30" t="str">
        <f aca="false">HYPERLINK("https://www.robocore.net/placa-raspberry-pi/raspberry-pi-4-2gb","Ver →")</f>
        <v>Ver →</v>
      </c>
      <c r="D13" s="31" t="str">
        <f aca="false">HYPERLINK("https://loja.intelbras.com.br/camera-wifi-im3c/p","Ver →")</f>
        <v>Ver →</v>
      </c>
      <c r="E13" s="30" t="str">
        <f aca="false">HYPERLINK("https://www.magazineluiza.com.br/busca/fechadura+de+sobrepor+eletrica/","Ver →")</f>
        <v>Ver →</v>
      </c>
      <c r="F13" s="31" t="str">
        <f aca="false">HYPERLINK("https://lista.mercadolivre.com.br/sensor-magnetico-reed-switch","Ver →")</f>
        <v>Ver →</v>
      </c>
      <c r="G13" s="30" t="str">
        <f aca="false">HYPERLINK("https://www.amazon.com.br/EXVIST-Roteador-Industrial-Inteligente-Vigil%C3%A2ncia/dp/B09PMKGTYN","Ver →")</f>
        <v>Ver →</v>
      </c>
      <c r="H13" s="31" t="str">
        <f aca="false">HYPERLINK("https://www.amazon.com.br/s?k=cartao+sd+32gb+classe+10","Ver →")</f>
        <v>Ver →</v>
      </c>
      <c r="I13" s="15"/>
    </row>
    <row r="15" customFormat="false" ht="24" hidden="false" customHeight="true" outlineLevel="0" collapsed="false">
      <c r="A15" s="32" t="s">
        <v>28</v>
      </c>
      <c r="B15" s="32"/>
      <c r="C15" s="32"/>
      <c r="D15" s="32"/>
      <c r="E15" s="32"/>
      <c r="F15" s="32"/>
      <c r="G15" s="32"/>
      <c r="H15" s="32"/>
      <c r="I15" s="33" t="n">
        <f aca="false">I13</f>
        <v>0</v>
      </c>
    </row>
    <row r="16" customFormat="false" ht="6" hidden="false" customHeight="true" outlineLevel="0" collapsed="false"/>
    <row r="17" customFormat="false" ht="18" hidden="false" customHeight="true" outlineLevel="0" collapsed="false">
      <c r="A17" s="7" t="s">
        <v>29</v>
      </c>
      <c r="B17" s="7"/>
      <c r="C17" s="7"/>
      <c r="D17" s="7"/>
      <c r="E17" s="7"/>
      <c r="F17" s="7"/>
      <c r="G17" s="7"/>
      <c r="H17" s="7"/>
    </row>
    <row r="18" customFormat="false" ht="15.75" hidden="false" customHeight="true" outlineLevel="0" collapsed="false">
      <c r="A18" s="34" t="s">
        <v>30</v>
      </c>
      <c r="B18" s="35" t="s">
        <v>31</v>
      </c>
      <c r="C18" s="36"/>
      <c r="D18" s="36"/>
      <c r="E18" s="36"/>
      <c r="F18" s="36"/>
      <c r="G18" s="36"/>
      <c r="H18" s="36"/>
    </row>
    <row r="19" customFormat="false" ht="15.75" hidden="false" customHeight="true" outlineLevel="0" collapsed="false">
      <c r="A19" s="37" t="s">
        <v>32</v>
      </c>
      <c r="B19" s="25" t="n">
        <v>80</v>
      </c>
      <c r="C19" s="36"/>
      <c r="D19" s="36"/>
      <c r="E19" s="36"/>
      <c r="F19" s="36"/>
      <c r="G19" s="36"/>
      <c r="H19" s="36"/>
    </row>
    <row r="20" customFormat="false" ht="6" hidden="false" customHeight="true" outlineLevel="0" collapsed="false"/>
    <row r="21" customFormat="false" ht="31.5" hidden="false" customHeight="true" outlineLevel="0" collapsed="false">
      <c r="A21" s="38" t="s">
        <v>33</v>
      </c>
      <c r="B21" s="38"/>
      <c r="C21" s="38"/>
      <c r="D21" s="38"/>
      <c r="E21" s="38"/>
      <c r="F21" s="38"/>
      <c r="G21" s="38"/>
      <c r="H21" s="38"/>
      <c r="I21" s="39" t="n">
        <f aca="false">I15</f>
        <v>0</v>
      </c>
    </row>
    <row r="22" customFormat="false" ht="6" hidden="false" customHeight="true" outlineLevel="0" collapsed="false">
      <c r="A22" s="40"/>
      <c r="B22" s="40"/>
      <c r="C22" s="40"/>
      <c r="D22" s="40"/>
      <c r="E22" s="40"/>
      <c r="F22" s="40"/>
      <c r="G22" s="40"/>
      <c r="H22" s="40"/>
      <c r="I22" s="40"/>
    </row>
    <row r="24" customFormat="false" ht="15" hidden="false" customHeight="false" outlineLevel="0" collapsed="false">
      <c r="A24" s="41" t="s">
        <v>34</v>
      </c>
      <c r="B24" s="41"/>
      <c r="C24" s="41"/>
      <c r="D24" s="41"/>
      <c r="E24" s="41"/>
      <c r="F24" s="41"/>
      <c r="G24" s="41"/>
      <c r="H24" s="41"/>
      <c r="I24" s="41"/>
    </row>
    <row r="25" customFormat="false" ht="13.5" hidden="false" customHeight="true" outlineLevel="0" collapsed="false">
      <c r="A25" s="42" t="s">
        <v>35</v>
      </c>
      <c r="B25" s="42"/>
      <c r="C25" s="42"/>
      <c r="D25" s="42"/>
      <c r="E25" s="42"/>
      <c r="F25" s="42"/>
      <c r="G25" s="42"/>
      <c r="H25" s="42"/>
      <c r="I25" s="42"/>
    </row>
    <row r="26" customFormat="false" ht="13.5" hidden="false" customHeight="true" outlineLevel="0" collapsed="false">
      <c r="A26" s="42" t="s">
        <v>36</v>
      </c>
      <c r="B26" s="42"/>
      <c r="C26" s="42"/>
      <c r="D26" s="42"/>
      <c r="E26" s="42"/>
      <c r="F26" s="42"/>
      <c r="G26" s="42"/>
      <c r="H26" s="42"/>
      <c r="I26" s="42"/>
    </row>
    <row r="27" customFormat="false" ht="13.5" hidden="false" customHeight="true" outlineLevel="0" collapsed="false">
      <c r="A27" s="42" t="s">
        <v>37</v>
      </c>
      <c r="B27" s="42"/>
      <c r="C27" s="42"/>
      <c r="D27" s="42"/>
      <c r="E27" s="42"/>
      <c r="F27" s="42"/>
      <c r="G27" s="42"/>
      <c r="H27" s="42"/>
      <c r="I27" s="42"/>
    </row>
  </sheetData>
  <mergeCells count="12">
    <mergeCell ref="A2:H2"/>
    <mergeCell ref="A3:H3"/>
    <mergeCell ref="A4:F4"/>
    <mergeCell ref="G4:H4"/>
    <mergeCell ref="A6:H6"/>
    <mergeCell ref="A15:H15"/>
    <mergeCell ref="A17:H17"/>
    <mergeCell ref="A21:H21"/>
    <mergeCell ref="A24:I24"/>
    <mergeCell ref="A25:I25"/>
    <mergeCell ref="A26:I26"/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8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38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3" t="s">
        <v>39</v>
      </c>
      <c r="B3" s="3"/>
      <c r="C3" s="3"/>
      <c r="D3" s="3"/>
      <c r="E3" s="3"/>
      <c r="F3" s="3"/>
      <c r="G3" s="3"/>
      <c r="H3" s="3"/>
    </row>
    <row r="4" customFormat="false" ht="15.75" hidden="false" customHeight="true" outlineLevel="0" collapsed="false">
      <c r="A4" s="4"/>
      <c r="B4" s="4"/>
      <c r="C4" s="4"/>
      <c r="D4" s="4"/>
      <c r="E4" s="4"/>
      <c r="F4" s="4"/>
      <c r="G4" s="5" t="s">
        <v>2</v>
      </c>
      <c r="H4" s="5"/>
    </row>
    <row r="5" customFormat="false" ht="6" hidden="false" customHeight="true" outlineLevel="0" collapsed="false">
      <c r="A5" s="6"/>
      <c r="B5" s="6"/>
      <c r="C5" s="6"/>
      <c r="D5" s="6"/>
      <c r="E5" s="6"/>
      <c r="F5" s="6"/>
      <c r="G5" s="6"/>
      <c r="H5" s="6"/>
    </row>
    <row r="6" customFormat="false" ht="19.5" hidden="false" customHeight="true" outlineLevel="0" collapsed="false">
      <c r="A6" s="7" t="s">
        <v>3</v>
      </c>
      <c r="B6" s="7"/>
      <c r="C6" s="7"/>
      <c r="D6" s="7"/>
      <c r="E6" s="7"/>
      <c r="F6" s="7"/>
      <c r="G6" s="7"/>
      <c r="H6" s="7"/>
    </row>
    <row r="7" customFormat="false" ht="30" hidden="false" customHeight="true" outlineLevel="0" collapsed="false">
      <c r="A7" s="8" t="s">
        <v>4</v>
      </c>
      <c r="B7" s="9" t="s">
        <v>40</v>
      </c>
      <c r="C7" s="9" t="s">
        <v>41</v>
      </c>
      <c r="D7" s="9" t="s">
        <v>42</v>
      </c>
      <c r="E7" s="9" t="s">
        <v>8</v>
      </c>
      <c r="F7" s="9" t="s">
        <v>43</v>
      </c>
      <c r="G7" s="9" t="s">
        <v>44</v>
      </c>
      <c r="H7" s="9" t="s">
        <v>45</v>
      </c>
      <c r="I7" s="10" t="s">
        <v>12</v>
      </c>
    </row>
    <row r="8" customFormat="false" ht="27.75" hidden="false" customHeight="true" outlineLevel="0" collapsed="false">
      <c r="A8" s="11" t="s">
        <v>13</v>
      </c>
      <c r="B8" s="14" t="s">
        <v>46</v>
      </c>
      <c r="C8" s="13" t="s">
        <v>47</v>
      </c>
      <c r="D8" s="14" t="s">
        <v>48</v>
      </c>
      <c r="E8" s="13" t="s">
        <v>49</v>
      </c>
      <c r="F8" s="14" t="s">
        <v>50</v>
      </c>
      <c r="G8" s="13" t="s">
        <v>51</v>
      </c>
      <c r="H8" s="43" t="s">
        <v>52</v>
      </c>
      <c r="I8" s="15"/>
    </row>
    <row r="9" customFormat="false" ht="13.5" hidden="false" customHeight="true" outlineLevel="0" collapsed="false">
      <c r="A9" s="11" t="s">
        <v>21</v>
      </c>
      <c r="B9" s="18" t="n">
        <v>1</v>
      </c>
      <c r="C9" s="17" t="n">
        <v>1</v>
      </c>
      <c r="D9" s="18" t="n">
        <v>1</v>
      </c>
      <c r="E9" s="17" t="n">
        <v>1</v>
      </c>
      <c r="F9" s="18" t="n">
        <v>1</v>
      </c>
      <c r="G9" s="17" t="n">
        <v>1</v>
      </c>
      <c r="H9" s="44" t="n">
        <v>1</v>
      </c>
      <c r="I9" s="19" t="n">
        <f aca="false">SUM(B9:H9)</f>
        <v>7</v>
      </c>
    </row>
    <row r="10" customFormat="false" ht="13.5" hidden="false" customHeight="true" outlineLevel="0" collapsed="false">
      <c r="A10" s="11" t="s">
        <v>22</v>
      </c>
      <c r="B10" s="22" t="n">
        <v>199.9</v>
      </c>
      <c r="C10" s="21" t="n">
        <v>20</v>
      </c>
      <c r="D10" s="22" t="n">
        <v>15</v>
      </c>
      <c r="E10" s="21" t="n">
        <v>130</v>
      </c>
      <c r="F10" s="22" t="n">
        <v>35</v>
      </c>
      <c r="G10" s="21" t="n">
        <v>45</v>
      </c>
      <c r="H10" s="45" t="n">
        <v>100</v>
      </c>
      <c r="I10" s="15"/>
    </row>
    <row r="11" customFormat="false" ht="15.75" hidden="false" customHeight="true" outlineLevel="0" collapsed="false">
      <c r="A11" s="11" t="s">
        <v>23</v>
      </c>
      <c r="B11" s="25" t="n">
        <f aca="false">B9*B10</f>
        <v>199.9</v>
      </c>
      <c r="C11" s="24" t="n">
        <f aca="false">C9*C10</f>
        <v>20</v>
      </c>
      <c r="D11" s="25" t="n">
        <f aca="false">D9*D10</f>
        <v>15</v>
      </c>
      <c r="E11" s="24" t="n">
        <f aca="false">E9*E10</f>
        <v>130</v>
      </c>
      <c r="F11" s="25" t="n">
        <f aca="false">F9*F10</f>
        <v>35</v>
      </c>
      <c r="G11" s="24" t="n">
        <f aca="false">G9*G10</f>
        <v>45</v>
      </c>
      <c r="H11" s="46" t="n">
        <f aca="false">H9*H10</f>
        <v>100</v>
      </c>
      <c r="I11" s="26" t="n">
        <f aca="false">SUM(B11:H11)</f>
        <v>544.9</v>
      </c>
    </row>
    <row r="12" customFormat="false" ht="13.5" hidden="false" customHeight="true" outlineLevel="0" collapsed="false">
      <c r="A12" s="11" t="s">
        <v>24</v>
      </c>
      <c r="B12" s="28" t="s">
        <v>26</v>
      </c>
      <c r="C12" s="28" t="s">
        <v>26</v>
      </c>
      <c r="D12" s="28" t="s">
        <v>26</v>
      </c>
      <c r="E12" s="28" t="s">
        <v>26</v>
      </c>
      <c r="F12" s="28" t="s">
        <v>26</v>
      </c>
      <c r="G12" s="28" t="s">
        <v>26</v>
      </c>
      <c r="H12" s="47" t="s">
        <v>26</v>
      </c>
      <c r="I12" s="15"/>
    </row>
    <row r="13" customFormat="false" ht="13.5" hidden="false" customHeight="true" outlineLevel="0" collapsed="false">
      <c r="A13" s="11" t="s">
        <v>27</v>
      </c>
      <c r="B13" s="31" t="str">
        <f aca="false">HYPERLINK("https://www.robocore.net/placa-raspberry-pi/raspberry-pi-zero-2w","Ver →")</f>
        <v>Ver →</v>
      </c>
      <c r="C13" s="30" t="str">
        <f aca="false">HYPERLINK("https://www.eletrogate.com/teclado-matricial-de-membrana-16-teclas","Ver →")</f>
        <v>Ver →</v>
      </c>
      <c r="D13" s="31" t="str">
        <f aca="false">HYPERLINK("https://www.eletrogate.com/modulo-rele-5v-1-canal","Ver →")</f>
        <v>Ver →</v>
      </c>
      <c r="E13" s="30" t="str">
        <f aca="false">HYPERLINK("https://www.magazineluiza.com.br/busca/fechadura+de+sobrepor+eletrica/","Ver →")</f>
        <v>Ver →</v>
      </c>
      <c r="F13" s="31" t="str">
        <f aca="false">HYPERLINK("https://www.amazon.com.br/s?k=fonte+5v+3a+usb-c","Ver →")</f>
        <v>Ver →</v>
      </c>
      <c r="G13" s="30" t="str">
        <f aca="false">HYPERLINK("https://lista.mercadolivre.com.br/caixa-de-passagem-ip55","Ver →")</f>
        <v>Ver →</v>
      </c>
      <c r="H13" s="48" t="str">
        <f aca="false">HYPERLINK("https://www.magazineluiza.com.br/busca/roteador+wifi/","Ver →")</f>
        <v>Ver →</v>
      </c>
      <c r="I13" s="15"/>
    </row>
    <row r="15" customFormat="false" ht="24" hidden="false" customHeight="true" outlineLevel="0" collapsed="false">
      <c r="A15" s="32" t="s">
        <v>28</v>
      </c>
      <c r="B15" s="32"/>
      <c r="C15" s="32"/>
      <c r="D15" s="32"/>
      <c r="E15" s="32"/>
      <c r="F15" s="32"/>
      <c r="G15" s="32"/>
      <c r="H15" s="32"/>
      <c r="I15" s="33" t="n">
        <f aca="false">I13</f>
        <v>0</v>
      </c>
    </row>
    <row r="16" customFormat="false" ht="6" hidden="false" customHeight="true" outlineLevel="0" collapsed="false"/>
    <row r="17" customFormat="false" ht="18" hidden="false" customHeight="true" outlineLevel="0" collapsed="false">
      <c r="A17" s="7" t="s">
        <v>29</v>
      </c>
      <c r="B17" s="7"/>
      <c r="C17" s="7"/>
      <c r="D17" s="7"/>
      <c r="E17" s="7"/>
      <c r="F17" s="7"/>
      <c r="G17" s="7"/>
      <c r="H17" s="7"/>
    </row>
    <row r="18" customFormat="false" ht="15.75" hidden="false" customHeight="true" outlineLevel="0" collapsed="false">
      <c r="A18" s="34" t="s">
        <v>30</v>
      </c>
      <c r="B18" s="35" t="s">
        <v>53</v>
      </c>
      <c r="C18" s="36"/>
      <c r="D18" s="36"/>
      <c r="E18" s="36"/>
      <c r="F18" s="36"/>
      <c r="G18" s="36"/>
      <c r="H18" s="36"/>
    </row>
    <row r="19" customFormat="false" ht="6" hidden="false" customHeight="true" outlineLevel="0" collapsed="false"/>
    <row r="20" customFormat="false" ht="31.5" hidden="false" customHeight="true" outlineLevel="0" collapsed="false">
      <c r="A20" s="38" t="s">
        <v>33</v>
      </c>
      <c r="B20" s="38"/>
      <c r="C20" s="38"/>
      <c r="D20" s="38"/>
      <c r="E20" s="38"/>
      <c r="F20" s="38"/>
      <c r="G20" s="38"/>
      <c r="H20" s="38"/>
      <c r="I20" s="39" t="n">
        <f aca="false">I15</f>
        <v>0</v>
      </c>
    </row>
    <row r="21" customFormat="false" ht="6" hidden="false" customHeight="true" outlineLevel="0" collapsed="false">
      <c r="A21" s="40"/>
      <c r="B21" s="40"/>
      <c r="C21" s="40"/>
      <c r="D21" s="40"/>
      <c r="E21" s="40"/>
      <c r="F21" s="40"/>
      <c r="G21" s="40"/>
      <c r="H21" s="40"/>
      <c r="I21" s="40"/>
    </row>
    <row r="23" customFormat="false" ht="15" hidden="false" customHeight="false" outlineLevel="0" collapsed="false">
      <c r="A23" s="41" t="s">
        <v>34</v>
      </c>
      <c r="B23" s="41"/>
      <c r="C23" s="41"/>
      <c r="D23" s="41"/>
      <c r="E23" s="41"/>
      <c r="F23" s="41"/>
      <c r="G23" s="41"/>
      <c r="H23" s="41"/>
      <c r="I23" s="41"/>
    </row>
    <row r="24" customFormat="false" ht="13.5" hidden="false" customHeight="true" outlineLevel="0" collapsed="false">
      <c r="A24" s="42" t="s">
        <v>35</v>
      </c>
      <c r="B24" s="42"/>
      <c r="C24" s="42"/>
      <c r="D24" s="42"/>
      <c r="E24" s="42"/>
      <c r="F24" s="42"/>
      <c r="G24" s="42"/>
      <c r="H24" s="42"/>
      <c r="I24" s="42"/>
    </row>
    <row r="25" customFormat="false" ht="13.5" hidden="false" customHeight="true" outlineLevel="0" collapsed="false">
      <c r="A25" s="42" t="s">
        <v>54</v>
      </c>
      <c r="B25" s="42"/>
      <c r="C25" s="42"/>
      <c r="D25" s="42"/>
      <c r="E25" s="42"/>
      <c r="F25" s="42"/>
      <c r="G25" s="42"/>
      <c r="H25" s="42"/>
      <c r="I25" s="42"/>
    </row>
    <row r="26" customFormat="false" ht="13.5" hidden="false" customHeight="true" outlineLevel="0" collapsed="false">
      <c r="A26" s="42" t="s">
        <v>55</v>
      </c>
      <c r="B26" s="42"/>
      <c r="C26" s="42"/>
      <c r="D26" s="42"/>
      <c r="E26" s="42"/>
      <c r="F26" s="42"/>
      <c r="G26" s="42"/>
      <c r="H26" s="42"/>
      <c r="I26" s="42"/>
    </row>
    <row r="27" customFormat="false" ht="13.5" hidden="false" customHeight="true" outlineLevel="0" collapsed="false">
      <c r="A27" s="42" t="s">
        <v>56</v>
      </c>
      <c r="B27" s="42"/>
      <c r="C27" s="42"/>
      <c r="D27" s="42"/>
      <c r="E27" s="42"/>
      <c r="F27" s="42"/>
      <c r="G27" s="42"/>
      <c r="H27" s="42"/>
      <c r="I27" s="42"/>
    </row>
    <row r="28" customFormat="false" ht="13.5" hidden="false" customHeight="true" outlineLevel="0" collapsed="false">
      <c r="A28" s="42" t="s">
        <v>57</v>
      </c>
      <c r="B28" s="42"/>
      <c r="C28" s="42"/>
      <c r="D28" s="42"/>
      <c r="E28" s="42"/>
      <c r="F28" s="42"/>
      <c r="G28" s="42"/>
      <c r="H28" s="42"/>
      <c r="I28" s="42"/>
    </row>
  </sheetData>
  <mergeCells count="14">
    <mergeCell ref="A2:H2"/>
    <mergeCell ref="A3:H3"/>
    <mergeCell ref="A4:F4"/>
    <mergeCell ref="G4:H4"/>
    <mergeCell ref="A6:H6"/>
    <mergeCell ref="A15:H15"/>
    <mergeCell ref="A17:H17"/>
    <mergeCell ref="A20:H20"/>
    <mergeCell ref="A23:I23"/>
    <mergeCell ref="A24:I24"/>
    <mergeCell ref="A25:I25"/>
    <mergeCell ref="A26:I26"/>
    <mergeCell ref="A27:I27"/>
    <mergeCell ref="A28:I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2026-07-10T18:12:53Z</dcterms:created>
  <dc:creator>openpyxl</dc:creator>
  <dc:description/>
  <dc:language>en-US</dc:language>
  <cp:lastModifiedBy/>
  <dcterms:modified xsi:type="dcterms:W3CDTF">2026-07-10T18:12:53Z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